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eauditingllc-my.sharepoint.com/personal/duongnvt_fineaudit_vn/Documents/VietCo/Logo/"/>
    </mc:Choice>
  </mc:AlternateContent>
  <xr:revisionPtr revIDLastSave="273" documentId="8_{68ACE320-8F5F-4095-A383-1A405BB0E434}" xr6:coauthVersionLast="47" xr6:coauthVersionMax="47" xr10:uidLastSave="{0619AA73-4053-4B17-985A-90B7D852AF8F}"/>
  <bookViews>
    <workbookView xWindow="-110" yWindow="-110" windowWidth="19420" windowHeight="11500" xr2:uid="{DE8AF828-141B-4FDE-9804-A15DBE0C4703}"/>
  </bookViews>
  <sheets>
    <sheet name="Detail" sheetId="1" r:id="rId1"/>
    <sheet name="Classification" sheetId="2" r:id="rId2"/>
  </sheets>
  <definedNames>
    <definedName name="_xlnm._FilterDatabase" localSheetId="0" hidden="1">Detail!$A$1:$P$25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B4" i="2"/>
  <c r="B3" i="2"/>
  <c r="B5" i="2"/>
  <c r="B6" i="2"/>
  <c r="B7" i="2"/>
  <c r="B2" i="2"/>
  <c r="A3" i="1" l="1"/>
</calcChain>
</file>

<file path=xl/sharedStrings.xml><?xml version="1.0" encoding="utf-8"?>
<sst xmlns="http://schemas.openxmlformats.org/spreadsheetml/2006/main" count="217" uniqueCount="103">
  <si>
    <t>Stt</t>
  </si>
  <si>
    <t>Tên</t>
  </si>
  <si>
    <t>Công ty TNHH Lautan Luas Việt Nam</t>
  </si>
  <si>
    <t>Công ty TNHH Nankai AGL Việt Nam</t>
  </si>
  <si>
    <t>Công ty TNHH Dreamchef Vina</t>
  </si>
  <si>
    <t>Công ty TNHH Fillon Technologies Việt Nam</t>
  </si>
  <si>
    <t>Công ty TNHH Gunzetal (Việt Nam)</t>
  </si>
  <si>
    <t>Công ty Cổ phần Tong Hong Tannery Việt Nam</t>
  </si>
  <si>
    <t>Công ty Cổ Phần Du Lịch Quốc Tế Go Happy</t>
  </si>
  <si>
    <t>CÔNG TY CỔ PHẦN DỊCH VỤ LÔ-GI-STIC ĐẠI CỒ VIỆT</t>
  </si>
  <si>
    <t>CÔNG TY CỔ PHẦN ĐẦU TƯ PHÁT TRIỂN ĐỊA ỐC GIA KHẢI</t>
  </si>
  <si>
    <t>CÔNG TY TNHH COTECNA VIỆT NAM</t>
  </si>
  <si>
    <t>CÔNG TY TNHH ASAMA YUH JIUN INTERNATIONAL VIỆT NAM</t>
  </si>
  <si>
    <t>Công ty TNHH Thương mại Kỹ thuật Tri Việt</t>
  </si>
  <si>
    <t xml:space="preserve">CÔNG TY TNHH ĐỘNG CƠ VÀ MÁY MÓC ELEKTRIM (VIỆT NAM) </t>
  </si>
  <si>
    <t xml:space="preserve">Công ty TNHH Molvizadah Sons Việt Nam </t>
  </si>
  <si>
    <t>CHI NHÁNH CÔNG TY TNHH GLANDCORE</t>
  </si>
  <si>
    <t>Công ty TNHH Nipon Việt Nam</t>
  </si>
  <si>
    <t>x</t>
  </si>
  <si>
    <t>Lĩnh vực</t>
  </si>
  <si>
    <t>Hóa chất</t>
  </si>
  <si>
    <t>Logistic</t>
  </si>
  <si>
    <t>Sản xuất đồ gia dụng</t>
  </si>
  <si>
    <t>Công nghiệp chế tạo máy</t>
  </si>
  <si>
    <t>Dệt may</t>
  </si>
  <si>
    <t>Sản xuất phương tiện</t>
  </si>
  <si>
    <t>Giám định, thử nghiệm</t>
  </si>
  <si>
    <t>Bán buôn thực phẩm</t>
  </si>
  <si>
    <t>Bán buôn nguyên liệu dược phẩm</t>
  </si>
  <si>
    <t>Bán buôn xuất khẩu tiêu điều</t>
  </si>
  <si>
    <t>Thiết bị y tế</t>
  </si>
  <si>
    <t>Công nghiệp chế biến da</t>
  </si>
  <si>
    <t>Bất động sản</t>
  </si>
  <si>
    <t>Sản xuất giày dép</t>
  </si>
  <si>
    <t>Du lịch, lữ hành</t>
  </si>
  <si>
    <t>Sản xuất bao bì giấy</t>
  </si>
  <si>
    <t>Thiết bị công nghiệp, kỹ thuật</t>
  </si>
  <si>
    <t>Phân phối động cơ điện, máy móc</t>
  </si>
  <si>
    <t>Công ty TNHH Đầu tư Kido</t>
  </si>
  <si>
    <t>Ủy Ban Bác Ái Xã hội - Caritas Việt Nam</t>
  </si>
  <si>
    <t>Tổ chức từ thiện</t>
  </si>
  <si>
    <t>CÔNG TY TNHH MASS WORLDWIDE LOGISTICS (VIỆT NAM) OCEAN</t>
  </si>
  <si>
    <t>Quốc gia</t>
  </si>
  <si>
    <t>CÔNG TY TNHH MENTFIELD QV LOGISTICS VIỆT NAM</t>
  </si>
  <si>
    <t>Logistic Forwarding</t>
  </si>
  <si>
    <t>Công ty Cổ phần sản xuất hàng tiêu dùng Bình Tân</t>
  </si>
  <si>
    <t>Hàn Quốc</t>
  </si>
  <si>
    <t>Việt Nam</t>
  </si>
  <si>
    <t>Link website</t>
  </si>
  <si>
    <t>Khu vực</t>
  </si>
  <si>
    <t>Phân loại</t>
  </si>
  <si>
    <t>Indonesia</t>
  </si>
  <si>
    <t>https://lautan-luas.com.vn/vi/</t>
  </si>
  <si>
    <t>Châu Á, Thái Bình Dương</t>
  </si>
  <si>
    <t>Lấy logo</t>
  </si>
  <si>
    <t>Nhật Bản</t>
  </si>
  <si>
    <t>https://www.aglc.co.jp/</t>
  </si>
  <si>
    <t>http://www.dreamchef.kr/vn/Vietnam</t>
  </si>
  <si>
    <t>https://www.fillontech.com/en/corporate/homepage/</t>
  </si>
  <si>
    <t>http://www.gunzetal.com/</t>
  </si>
  <si>
    <t>Trung Quốc</t>
  </si>
  <si>
    <t>http://www.tong-hong.com/</t>
  </si>
  <si>
    <t>https://ezfly.com/</t>
  </si>
  <si>
    <t>https://dacologistics.com/vi/home/</t>
  </si>
  <si>
    <t>https://diaocgiakhai.vn/</t>
  </si>
  <si>
    <t>https://www.cotecna.com/en</t>
  </si>
  <si>
    <t>https://viettrung.com/</t>
  </si>
  <si>
    <t>https://asamabike.com/</t>
  </si>
  <si>
    <t>https://trivietco.vn/</t>
  </si>
  <si>
    <t>https://elektrim.com.vn/</t>
  </si>
  <si>
    <t>https://www.molvizadahsons.com/</t>
  </si>
  <si>
    <t>https://glandcore.com.vn/</t>
  </si>
  <si>
    <t>https://www.niponvietnam.com.vn/</t>
  </si>
  <si>
    <t>https://www.kdc.vn/</t>
  </si>
  <si>
    <t>https://caritasvietnam.org/</t>
  </si>
  <si>
    <t>http://www.mass.co.th/home</t>
  </si>
  <si>
    <t xml:space="preserve">http://www.mentfield.com/ </t>
  </si>
  <si>
    <t>https://bitas.com.vn/</t>
  </si>
  <si>
    <t>Sản xuất công nghiệp &amp; nguyên vật liệu</t>
  </si>
  <si>
    <t>Logistics &amp; Xuất nhập khẩu</t>
  </si>
  <si>
    <t>Thương mại &amp; Phân phối</t>
  </si>
  <si>
    <t>Bất động sản &amp; Dịch vụ doanh nghiệp</t>
  </si>
  <si>
    <t>Sản xuất tiêu dùng</t>
  </si>
  <si>
    <t>Pháp</t>
  </si>
  <si>
    <t>HongKong</t>
  </si>
  <si>
    <t>Đài Loan</t>
  </si>
  <si>
    <t>Công ty TNHH Bao Bì Giấy Việt Trung</t>
  </si>
  <si>
    <t>Thụy Sĩ</t>
  </si>
  <si>
    <t>Singapore</t>
  </si>
  <si>
    <t>UK</t>
  </si>
  <si>
    <t>UAE</t>
  </si>
  <si>
    <t>Châu Âu</t>
  </si>
  <si>
    <t>Số lượng</t>
  </si>
  <si>
    <t>Row Labels</t>
  </si>
  <si>
    <t>Grand Total</t>
  </si>
  <si>
    <t>Count of Tên</t>
  </si>
  <si>
    <t>https://www.savinodelbene.com/company/</t>
  </si>
  <si>
    <t>CÔNG TY TNHH SAVINO DEL BENE VIỆT NAM</t>
  </si>
  <si>
    <t>Logistics</t>
  </si>
  <si>
    <t>Italia</t>
  </si>
  <si>
    <t>https://tigermedgrp.com/en/homepage</t>
  </si>
  <si>
    <t>CÔNG TY TNHH TIGERMED VIỆT NAM</t>
  </si>
  <si>
    <t>Dịch vụ tư vấn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</si>
</sst>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2" fillId="0" borderId="1" xfId="0" applyFont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3.608711111112" createdVersion="8" refreshedVersion="8" minRefreshableVersion="3" recordCount="24" xr:uid="{68E4AEC8-99B4-4E19-B27C-AAEC6A05F6F6}">
  <cacheSource type="worksheet">
    <worksheetSource ref="A1:H25" sheet="Detail"/>
  </cacheSource>
  <cacheFields count="8">
    <cacheField name="Stt" numFmtId="0">
      <sharedItems containsSemiMixedTypes="0" containsString="0" containsNumber="1" containsInteger="1" minValue="1" maxValue="24"/>
    </cacheField>
    <cacheField name="Tên" numFmtId="0">
      <sharedItems count="24">
        <s v="Công ty TNHH Đầu tư Kido"/>
        <s v="CHI NHÁNH CÔNG TY TNHH GLANDCORE"/>
        <s v="Công ty TNHH Lautan Luas Việt Nam"/>
        <s v="Công ty TNHH Nipon Việt Nam"/>
        <s v="CÔNG TY TNHH ĐỘNG CƠ VÀ MÁY MÓC ELEKTRIM (VIỆT NAM) "/>
        <s v="Công ty TNHH Thương mại Kỹ thuật Tri Việt"/>
        <s v="CÔNG TY TNHH MENTFIELD QV LOGISTICS VIỆT NAM"/>
        <s v="CÔNG TY CỔ PHẦN DỊCH VỤ LÔ-GI-STIC ĐẠI CỒ VIỆT"/>
        <s v="CÔNG TY TNHH SAVINO DEL BENE VIỆT NAM"/>
        <s v="CÔNG TY TNHH MASS WORLDWIDE LOGISTICS (VIỆT NAM) OCEAN"/>
        <s v="Công ty TNHH Nankai AGL Việt Nam"/>
        <s v="Công ty TNHH Molvizadah Sons Việt Nam "/>
        <s v="CÔNG TY TNHH ASAMA YUH JIUN INTERNATIONAL VIỆT NAM"/>
        <s v="Công ty Cổ phần Tong Hong Tannery Việt Nam"/>
        <s v="Công ty TNHH Gunzetal (Việt Nam)"/>
        <s v="Công ty TNHH Dreamchef Vina"/>
        <s v="Công ty TNHH Bao Bì Giấy Việt Trung"/>
        <s v="Công ty TNHH Fillon Technologies Việt Nam"/>
        <s v="Công ty Cổ phần sản xuất hàng tiêu dùng Bình Tân"/>
        <s v="CÔNG TY TNHH TIGERMED VIỆT NAM"/>
        <s v="Công ty Cổ Phần Du Lịch Quốc Tế Go Happy"/>
        <s v="CÔNG TY TNHH COTECNA VIỆT NAM"/>
        <s v="CÔNG TY CỔ PHẦN ĐẦU TƯ PHÁT TRIỂN ĐỊA ỐC GIA KHẢI"/>
        <s v="Ủy Ban Bác Ái Xã hội - Caritas Việt Nam"/>
      </sharedItems>
    </cacheField>
    <cacheField name="Lấy logo" numFmtId="0">
      <sharedItems/>
    </cacheField>
    <cacheField name="Lĩnh vực" numFmtId="0">
      <sharedItems/>
    </cacheField>
    <cacheField name="Quốc gia" numFmtId="0">
      <sharedItems/>
    </cacheField>
    <cacheField name="Link website" numFmtId="0">
      <sharedItems/>
    </cacheField>
    <cacheField name="Khu vực" numFmtId="0">
      <sharedItems/>
    </cacheField>
    <cacheField name="Phân loại" numFmtId="0">
      <sharedItems count="6">
        <s v="Thương mại &amp; Phân phối"/>
        <s v="Logistics &amp; Xuất nhập khẩu"/>
        <s v="Sản xuất công nghiệp &amp; nguyên vật liệu"/>
        <s v="Sản xuất tiêu dùng"/>
        <s v="Bất động sản &amp; Dịch vụ doanh nghiệp"/>
        <s v="Tổ chức từ thiệ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x v="0"/>
    <s v="x"/>
    <s v="Bán buôn thực phẩm"/>
    <s v="Việt Nam"/>
    <s v="https://www.kdc.vn/"/>
    <s v="Việt Nam"/>
    <x v="0"/>
  </r>
  <r>
    <n v="2"/>
    <x v="1"/>
    <s v="x"/>
    <s v="Bán buôn nguyên liệu dược phẩm"/>
    <s v="Việt Nam"/>
    <s v="https://glandcore.com.vn/"/>
    <s v="Việt Nam"/>
    <x v="0"/>
  </r>
  <r>
    <n v="3"/>
    <x v="2"/>
    <s v="x"/>
    <s v="Hóa chất"/>
    <s v="Indonesia"/>
    <s v="https://lautan-luas.com.vn/vi/"/>
    <s v="Châu Á, Thái Bình Dương"/>
    <x v="0"/>
  </r>
  <r>
    <n v="4"/>
    <x v="3"/>
    <s v="x"/>
    <s v="Thiết bị y tế"/>
    <s v="Nhật Bản"/>
    <s v="https://www.niponvietnam.com.vn/"/>
    <s v="Châu Á, Thái Bình Dương"/>
    <x v="0"/>
  </r>
  <r>
    <n v="5"/>
    <x v="4"/>
    <s v="x"/>
    <s v="Phân phối động cơ điện, máy móc"/>
    <s v="Singapore"/>
    <s v="https://elektrim.com.vn/"/>
    <s v="Châu Á, Thái Bình Dương"/>
    <x v="0"/>
  </r>
  <r>
    <n v="6"/>
    <x v="5"/>
    <s v="x"/>
    <s v="Thiết bị công nghiệp, kỹ thuật"/>
    <s v="Việt Nam"/>
    <s v="https://trivietco.vn/"/>
    <s v="Việt Nam"/>
    <x v="0"/>
  </r>
  <r>
    <n v="7"/>
    <x v="6"/>
    <s v="x"/>
    <s v="Logistic Forwarding"/>
    <s v="UK"/>
    <s v="http://www.mentfield.com/ "/>
    <s v="Châu Âu"/>
    <x v="1"/>
  </r>
  <r>
    <n v="8"/>
    <x v="7"/>
    <s v="x"/>
    <s v="Logistic"/>
    <s v="Việt Nam"/>
    <s v="https://dacologistics.com/vi/home/"/>
    <s v="Châu Á, Thái Bình Dương"/>
    <x v="1"/>
  </r>
  <r>
    <n v="9"/>
    <x v="8"/>
    <s v="x"/>
    <s v="Logistics"/>
    <s v="Italia"/>
    <s v="https://www.savinodelbene.com/company/"/>
    <s v="Châu Âu"/>
    <x v="1"/>
  </r>
  <r>
    <n v="10"/>
    <x v="9"/>
    <s v="x"/>
    <s v="Logistic Forwarding"/>
    <s v="HongKong"/>
    <s v="http://www.mass.co.th/home"/>
    <s v="Châu Á, Thái Bình Dương"/>
    <x v="1"/>
  </r>
  <r>
    <n v="11"/>
    <x v="10"/>
    <s v="x"/>
    <s v="Logistic Forwarding"/>
    <s v="Nhật Bản"/>
    <s v="https://www.aglc.co.jp/"/>
    <s v="Châu Á, Thái Bình Dương"/>
    <x v="1"/>
  </r>
  <r>
    <n v="12"/>
    <x v="11"/>
    <s v="x"/>
    <s v="Bán buôn xuất khẩu tiêu điều"/>
    <s v="UAE"/>
    <s v="https://www.molvizadahsons.com/"/>
    <s v="Châu Á, Thái Bình Dương"/>
    <x v="1"/>
  </r>
  <r>
    <n v="13"/>
    <x v="12"/>
    <s v="x"/>
    <s v="Sản xuất phương tiện"/>
    <s v="Đài Loan"/>
    <s v="https://asamabike.com/"/>
    <s v="Châu Á, Thái Bình Dương"/>
    <x v="2"/>
  </r>
  <r>
    <n v="14"/>
    <x v="13"/>
    <s v="x"/>
    <s v="Công nghiệp chế biến da"/>
    <s v="Trung Quốc"/>
    <s v="http://www.tong-hong.com/"/>
    <s v="Châu Á, Thái Bình Dương"/>
    <x v="2"/>
  </r>
  <r>
    <n v="15"/>
    <x v="14"/>
    <s v="x"/>
    <s v="Dệt may"/>
    <s v="HongKong"/>
    <s v="http://www.gunzetal.com/"/>
    <s v="Châu Á, Thái Bình Dương"/>
    <x v="2"/>
  </r>
  <r>
    <n v="16"/>
    <x v="15"/>
    <s v="x"/>
    <s v="Sản xuất đồ gia dụng"/>
    <s v="Hàn Quốc"/>
    <s v="http://www.dreamchef.kr/vn/Vietnam"/>
    <s v="Châu Á, Thái Bình Dương"/>
    <x v="3"/>
  </r>
  <r>
    <n v="17"/>
    <x v="16"/>
    <s v="x"/>
    <s v="Sản xuất bao bì giấy"/>
    <s v="Việt Nam"/>
    <s v="https://viettrung.com/"/>
    <s v="Việt Nam"/>
    <x v="2"/>
  </r>
  <r>
    <n v="18"/>
    <x v="17"/>
    <s v="x"/>
    <s v="Công nghiệp chế tạo máy"/>
    <s v="Pháp"/>
    <s v="https://www.fillontech.com/en/corporate/homepage/"/>
    <s v="Châu Âu"/>
    <x v="2"/>
  </r>
  <r>
    <n v="19"/>
    <x v="18"/>
    <s v="x"/>
    <s v="Sản xuất giày dép"/>
    <s v="Việt Nam"/>
    <s v="https://bitas.com.vn/"/>
    <s v="Việt Nam"/>
    <x v="3"/>
  </r>
  <r>
    <n v="20"/>
    <x v="19"/>
    <s v="x"/>
    <s v="Dịch vụ tư vấn"/>
    <s v="Trung Quốc"/>
    <s v="https://tigermedgrp.com/en/homepage"/>
    <s v="Châu Á, Thái Bình Dương"/>
    <x v="4"/>
  </r>
  <r>
    <n v="21"/>
    <x v="20"/>
    <s v="x"/>
    <s v="Du lịch, lữ hành"/>
    <s v="Đài Loan"/>
    <s v="https://ezfly.com/"/>
    <s v="Châu Á, Thái Bình Dương"/>
    <x v="4"/>
  </r>
  <r>
    <n v="22"/>
    <x v="21"/>
    <s v="x"/>
    <s v="Giám định, thử nghiệm"/>
    <s v="Thụy Sĩ"/>
    <s v="https://www.cotecna.com/en"/>
    <s v="Châu Âu"/>
    <x v="4"/>
  </r>
  <r>
    <n v="23"/>
    <x v="22"/>
    <s v="x"/>
    <s v="Bất động sản"/>
    <s v="Việt Nam"/>
    <s v="https://diaocgiakhai.vn/"/>
    <s v="Châu Á, Thái Bình Dương"/>
    <x v="4"/>
  </r>
  <r>
    <n v="24"/>
    <x v="23"/>
    <s v="x"/>
    <s v="Tổ chức từ thiện"/>
    <s v="Việt Nam"/>
    <s v="https://caritasvietnam.org/"/>
    <s v="Việt Nam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35FB4-AADF-4AA4-9418-96ABDFFD192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41" firstHeaderRow="1" firstDataRow="1" firstDataCol="1"/>
  <pivotFields count="8">
    <pivotField showAll="0"/>
    <pivotField axis="axisRow" dataField="1" showAll="0">
      <items count="25">
        <item x="1"/>
        <item x="22"/>
        <item x="7"/>
        <item x="20"/>
        <item x="18"/>
        <item x="13"/>
        <item x="12"/>
        <item x="16"/>
        <item x="21"/>
        <item x="0"/>
        <item x="4"/>
        <item x="15"/>
        <item x="17"/>
        <item x="14"/>
        <item x="2"/>
        <item x="9"/>
        <item x="6"/>
        <item x="11"/>
        <item x="10"/>
        <item x="3"/>
        <item x="5"/>
        <item x="23"/>
        <item x="8"/>
        <item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7"/>
    <field x="1"/>
  </rowFields>
  <rowItems count="31">
    <i>
      <x/>
    </i>
    <i r="1">
      <x/>
    </i>
    <i r="1">
      <x v="9"/>
    </i>
    <i r="1">
      <x v="10"/>
    </i>
    <i r="1">
      <x v="14"/>
    </i>
    <i r="1">
      <x v="19"/>
    </i>
    <i r="1">
      <x v="20"/>
    </i>
    <i>
      <x v="1"/>
    </i>
    <i r="1">
      <x v="2"/>
    </i>
    <i r="1">
      <x v="15"/>
    </i>
    <i r="1">
      <x v="16"/>
    </i>
    <i r="1">
      <x v="17"/>
    </i>
    <i r="1">
      <x v="18"/>
    </i>
    <i r="1">
      <x v="22"/>
    </i>
    <i>
      <x v="2"/>
    </i>
    <i r="1">
      <x v="5"/>
    </i>
    <i r="1">
      <x v="6"/>
    </i>
    <i r="1">
      <x v="7"/>
    </i>
    <i r="1">
      <x v="12"/>
    </i>
    <i r="1">
      <x v="13"/>
    </i>
    <i>
      <x v="3"/>
    </i>
    <i r="1">
      <x v="4"/>
    </i>
    <i r="1">
      <x v="11"/>
    </i>
    <i>
      <x v="4"/>
    </i>
    <i r="1">
      <x v="1"/>
    </i>
    <i r="1">
      <x v="3"/>
    </i>
    <i r="1">
      <x v="8"/>
    </i>
    <i r="1">
      <x v="23"/>
    </i>
    <i>
      <x v="5"/>
    </i>
    <i r="1">
      <x v="21"/>
    </i>
    <i t="grand">
      <x/>
    </i>
  </rowItems>
  <colItems count="1">
    <i/>
  </colItems>
  <dataFields count="1">
    <dataField name="Count of Tê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cologistics.com/vi/home/" TargetMode="External"/><Relationship Id="rId13" Type="http://schemas.openxmlformats.org/officeDocument/2006/relationships/hyperlink" Target="https://trivietco.vn/" TargetMode="External"/><Relationship Id="rId18" Type="http://schemas.openxmlformats.org/officeDocument/2006/relationships/hyperlink" Target="https://www.kdc.vn/" TargetMode="External"/><Relationship Id="rId3" Type="http://schemas.openxmlformats.org/officeDocument/2006/relationships/hyperlink" Target="http://www.dreamchef.kr/vn/Vietnam" TargetMode="External"/><Relationship Id="rId21" Type="http://schemas.openxmlformats.org/officeDocument/2006/relationships/hyperlink" Target="http://www.mentfield.com/" TargetMode="External"/><Relationship Id="rId7" Type="http://schemas.openxmlformats.org/officeDocument/2006/relationships/hyperlink" Target="https://ezfly.com/" TargetMode="External"/><Relationship Id="rId12" Type="http://schemas.openxmlformats.org/officeDocument/2006/relationships/hyperlink" Target="https://asamabike.com/" TargetMode="External"/><Relationship Id="rId17" Type="http://schemas.openxmlformats.org/officeDocument/2006/relationships/hyperlink" Target="https://www.niponvietnam.com.vn/" TargetMode="External"/><Relationship Id="rId2" Type="http://schemas.openxmlformats.org/officeDocument/2006/relationships/hyperlink" Target="https://www.aglc.co.jp/" TargetMode="External"/><Relationship Id="rId16" Type="http://schemas.openxmlformats.org/officeDocument/2006/relationships/hyperlink" Target="https://glandcore.com.vn/" TargetMode="External"/><Relationship Id="rId20" Type="http://schemas.openxmlformats.org/officeDocument/2006/relationships/hyperlink" Target="http://www.mass.co.th/home" TargetMode="External"/><Relationship Id="rId1" Type="http://schemas.openxmlformats.org/officeDocument/2006/relationships/hyperlink" Target="https://lautan-luas.com.vn/vi/" TargetMode="External"/><Relationship Id="rId6" Type="http://schemas.openxmlformats.org/officeDocument/2006/relationships/hyperlink" Target="http://www.tong-hong.com/" TargetMode="External"/><Relationship Id="rId11" Type="http://schemas.openxmlformats.org/officeDocument/2006/relationships/hyperlink" Target="https://viettrung.com/" TargetMode="External"/><Relationship Id="rId5" Type="http://schemas.openxmlformats.org/officeDocument/2006/relationships/hyperlink" Target="http://www.gunzetal.com/" TargetMode="External"/><Relationship Id="rId15" Type="http://schemas.openxmlformats.org/officeDocument/2006/relationships/hyperlink" Target="https://www.molvizadahsons.com/" TargetMode="External"/><Relationship Id="rId10" Type="http://schemas.openxmlformats.org/officeDocument/2006/relationships/hyperlink" Target="https://www.cotecna.com/en" TargetMode="External"/><Relationship Id="rId19" Type="http://schemas.openxmlformats.org/officeDocument/2006/relationships/hyperlink" Target="https://caritasvietnam.org/" TargetMode="External"/><Relationship Id="rId4" Type="http://schemas.openxmlformats.org/officeDocument/2006/relationships/hyperlink" Target="https://www.fillontech.com/en/corporate/homepage/" TargetMode="External"/><Relationship Id="rId9" Type="http://schemas.openxmlformats.org/officeDocument/2006/relationships/hyperlink" Target="https://diaocgiakhai.vn/" TargetMode="External"/><Relationship Id="rId14" Type="http://schemas.openxmlformats.org/officeDocument/2006/relationships/hyperlink" Target="https://elektrim.com.vn/" TargetMode="External"/><Relationship Id="rId22" Type="http://schemas.openxmlformats.org/officeDocument/2006/relationships/hyperlink" Target="https://bitas.com.v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1B4-CC6C-4036-86DE-B6F1E9BE29A0}">
  <dimension ref="A1:I25"/>
  <sheetViews>
    <sheetView tabSelected="1" zoomScale="59" workbookViewId="0">
      <selection activeCell="C10" sqref="C10"/>
    </sheetView>
  </sheetViews>
  <sheetFormatPr defaultColWidth="9" defaultRowHeight="15.5" x14ac:dyDescent="0.35"/>
  <cols>
    <col min="1" max="1" width="7.1796875" style="4" bestFit="1" customWidth="1"/>
    <col min="2" max="2" width="75.26953125" style="4" bestFit="1" customWidth="1"/>
    <col min="3" max="3" width="16.6328125" style="4" bestFit="1" customWidth="1"/>
    <col min="4" max="4" width="35.7265625" style="4" bestFit="1" customWidth="1"/>
    <col min="5" max="5" width="13.81640625" style="4" bestFit="1" customWidth="1"/>
    <col min="6" max="6" width="53" style="4" bestFit="1" customWidth="1"/>
    <col min="7" max="7" width="27.7265625" style="4" bestFit="1" customWidth="1"/>
    <col min="8" max="8" width="41.26953125" style="4" bestFit="1" customWidth="1"/>
    <col min="9" max="16384" width="9" style="4"/>
  </cols>
  <sheetData>
    <row r="1" spans="1:9" s="2" customFormat="1" x14ac:dyDescent="0.35">
      <c r="A1" s="1" t="s">
        <v>0</v>
      </c>
      <c r="B1" s="1" t="s">
        <v>1</v>
      </c>
      <c r="C1" s="11" t="s">
        <v>54</v>
      </c>
      <c r="D1" s="12" t="s">
        <v>19</v>
      </c>
      <c r="E1" s="12" t="s">
        <v>42</v>
      </c>
      <c r="F1" s="12" t="s">
        <v>48</v>
      </c>
      <c r="G1" s="12" t="s">
        <v>49</v>
      </c>
      <c r="H1" s="12" t="s">
        <v>50</v>
      </c>
    </row>
    <row r="2" spans="1:9" x14ac:dyDescent="0.35">
      <c r="A2" s="3">
        <v>1</v>
      </c>
      <c r="B2" s="3" t="s">
        <v>38</v>
      </c>
      <c r="C2" s="3" t="s">
        <v>18</v>
      </c>
      <c r="D2" s="3" t="s">
        <v>27</v>
      </c>
      <c r="E2" s="3" t="s">
        <v>47</v>
      </c>
      <c r="F2" s="13" t="s">
        <v>73</v>
      </c>
      <c r="G2" s="3" t="s">
        <v>47</v>
      </c>
      <c r="H2" s="3" t="s">
        <v>80</v>
      </c>
      <c r="I2" s="4">
        <v>1</v>
      </c>
    </row>
    <row r="3" spans="1:9" x14ac:dyDescent="0.35">
      <c r="A3" s="3">
        <f>A2+1</f>
        <v>2</v>
      </c>
      <c r="B3" s="3" t="s">
        <v>16</v>
      </c>
      <c r="C3" s="3" t="s">
        <v>18</v>
      </c>
      <c r="D3" s="3" t="s">
        <v>28</v>
      </c>
      <c r="E3" s="3" t="s">
        <v>47</v>
      </c>
      <c r="F3" s="13" t="s">
        <v>71</v>
      </c>
      <c r="G3" s="3" t="s">
        <v>47</v>
      </c>
      <c r="H3" s="3" t="s">
        <v>80</v>
      </c>
      <c r="I3" s="4">
        <v>2</v>
      </c>
    </row>
    <row r="4" spans="1:9" x14ac:dyDescent="0.35">
      <c r="A4" s="3">
        <f t="shared" ref="A4:A25" si="0">A3+1</f>
        <v>3</v>
      </c>
      <c r="B4" s="3" t="s">
        <v>2</v>
      </c>
      <c r="C4" s="3" t="s">
        <v>18</v>
      </c>
      <c r="D4" s="3" t="s">
        <v>20</v>
      </c>
      <c r="E4" s="3" t="s">
        <v>51</v>
      </c>
      <c r="F4" s="13" t="s">
        <v>52</v>
      </c>
      <c r="G4" s="3" t="s">
        <v>53</v>
      </c>
      <c r="H4" s="3" t="s">
        <v>80</v>
      </c>
      <c r="I4" s="4">
        <v>3</v>
      </c>
    </row>
    <row r="5" spans="1:9" x14ac:dyDescent="0.35">
      <c r="A5" s="3">
        <f t="shared" si="0"/>
        <v>4</v>
      </c>
      <c r="B5" s="3" t="s">
        <v>17</v>
      </c>
      <c r="C5" s="3" t="s">
        <v>18</v>
      </c>
      <c r="D5" s="3" t="s">
        <v>30</v>
      </c>
      <c r="E5" s="3" t="s">
        <v>55</v>
      </c>
      <c r="F5" s="13" t="s">
        <v>72</v>
      </c>
      <c r="G5" s="3" t="s">
        <v>53</v>
      </c>
      <c r="H5" s="3" t="s">
        <v>80</v>
      </c>
      <c r="I5" s="4">
        <v>4</v>
      </c>
    </row>
    <row r="6" spans="1:9" x14ac:dyDescent="0.35">
      <c r="A6" s="3">
        <f t="shared" si="0"/>
        <v>5</v>
      </c>
      <c r="B6" s="3" t="s">
        <v>14</v>
      </c>
      <c r="C6" s="3" t="s">
        <v>18</v>
      </c>
      <c r="D6" s="3" t="s">
        <v>37</v>
      </c>
      <c r="E6" s="3" t="s">
        <v>88</v>
      </c>
      <c r="F6" s="13" t="s">
        <v>69</v>
      </c>
      <c r="G6" s="3" t="s">
        <v>53</v>
      </c>
      <c r="H6" s="3" t="s">
        <v>80</v>
      </c>
      <c r="I6" s="4">
        <v>5</v>
      </c>
    </row>
    <row r="7" spans="1:9" x14ac:dyDescent="0.35">
      <c r="A7" s="3">
        <f t="shared" si="0"/>
        <v>6</v>
      </c>
      <c r="B7" s="3" t="s">
        <v>13</v>
      </c>
      <c r="C7" s="3" t="s">
        <v>18</v>
      </c>
      <c r="D7" s="3" t="s">
        <v>36</v>
      </c>
      <c r="E7" s="3" t="s">
        <v>47</v>
      </c>
      <c r="F7" s="13" t="s">
        <v>68</v>
      </c>
      <c r="G7" s="3" t="s">
        <v>47</v>
      </c>
      <c r="H7" s="3" t="s">
        <v>80</v>
      </c>
      <c r="I7" s="4">
        <v>6</v>
      </c>
    </row>
    <row r="8" spans="1:9" x14ac:dyDescent="0.35">
      <c r="A8" s="3">
        <f t="shared" si="0"/>
        <v>7</v>
      </c>
      <c r="B8" s="14" t="s">
        <v>43</v>
      </c>
      <c r="C8" s="3" t="s">
        <v>18</v>
      </c>
      <c r="D8" s="3" t="s">
        <v>44</v>
      </c>
      <c r="E8" s="3" t="s">
        <v>89</v>
      </c>
      <c r="F8" s="13" t="s">
        <v>76</v>
      </c>
      <c r="G8" s="3" t="s">
        <v>91</v>
      </c>
      <c r="H8" s="3" t="s">
        <v>79</v>
      </c>
      <c r="I8" s="4">
        <v>7</v>
      </c>
    </row>
    <row r="9" spans="1:9" x14ac:dyDescent="0.35">
      <c r="A9" s="3">
        <f t="shared" si="0"/>
        <v>8</v>
      </c>
      <c r="B9" s="3" t="s">
        <v>9</v>
      </c>
      <c r="C9" s="3" t="s">
        <v>18</v>
      </c>
      <c r="D9" s="3" t="s">
        <v>21</v>
      </c>
      <c r="E9" s="3" t="s">
        <v>47</v>
      </c>
      <c r="F9" s="13" t="s">
        <v>63</v>
      </c>
      <c r="G9" s="3" t="s">
        <v>53</v>
      </c>
      <c r="H9" s="3" t="s">
        <v>79</v>
      </c>
      <c r="I9" s="4">
        <v>8</v>
      </c>
    </row>
    <row r="10" spans="1:9" x14ac:dyDescent="0.35">
      <c r="A10" s="3">
        <f t="shared" si="0"/>
        <v>9</v>
      </c>
      <c r="B10" s="3" t="s">
        <v>97</v>
      </c>
      <c r="C10" s="3" t="s">
        <v>18</v>
      </c>
      <c r="D10" s="3" t="s">
        <v>98</v>
      </c>
      <c r="E10" s="3" t="s">
        <v>99</v>
      </c>
      <c r="F10" s="13" t="s">
        <v>96</v>
      </c>
      <c r="G10" s="3" t="s">
        <v>91</v>
      </c>
      <c r="H10" s="3" t="s">
        <v>79</v>
      </c>
      <c r="I10" s="4">
        <v>9</v>
      </c>
    </row>
    <row r="11" spans="1:9" x14ac:dyDescent="0.35">
      <c r="A11" s="3">
        <f t="shared" si="0"/>
        <v>10</v>
      </c>
      <c r="B11" s="3" t="s">
        <v>41</v>
      </c>
      <c r="C11" s="3" t="s">
        <v>18</v>
      </c>
      <c r="D11" s="3" t="s">
        <v>44</v>
      </c>
      <c r="E11" s="3" t="s">
        <v>84</v>
      </c>
      <c r="F11" s="13" t="s">
        <v>75</v>
      </c>
      <c r="G11" s="3" t="s">
        <v>53</v>
      </c>
      <c r="H11" s="3" t="s">
        <v>79</v>
      </c>
      <c r="I11" s="4">
        <v>10</v>
      </c>
    </row>
    <row r="12" spans="1:9" x14ac:dyDescent="0.35">
      <c r="A12" s="3">
        <f t="shared" si="0"/>
        <v>11</v>
      </c>
      <c r="B12" s="3" t="s">
        <v>3</v>
      </c>
      <c r="C12" s="3" t="s">
        <v>18</v>
      </c>
      <c r="D12" s="3" t="s">
        <v>44</v>
      </c>
      <c r="E12" s="3" t="s">
        <v>55</v>
      </c>
      <c r="F12" s="13" t="s">
        <v>56</v>
      </c>
      <c r="G12" s="3" t="s">
        <v>53</v>
      </c>
      <c r="H12" s="3" t="s">
        <v>79</v>
      </c>
      <c r="I12" s="4">
        <v>11</v>
      </c>
    </row>
    <row r="13" spans="1:9" x14ac:dyDescent="0.35">
      <c r="A13" s="3">
        <f t="shared" si="0"/>
        <v>12</v>
      </c>
      <c r="B13" s="3" t="s">
        <v>15</v>
      </c>
      <c r="C13" s="3" t="s">
        <v>18</v>
      </c>
      <c r="D13" s="3" t="s">
        <v>29</v>
      </c>
      <c r="E13" s="3" t="s">
        <v>90</v>
      </c>
      <c r="F13" s="13" t="s">
        <v>70</v>
      </c>
      <c r="G13" s="3" t="s">
        <v>53</v>
      </c>
      <c r="H13" s="3" t="s">
        <v>79</v>
      </c>
      <c r="I13" s="4">
        <v>12</v>
      </c>
    </row>
    <row r="14" spans="1:9" x14ac:dyDescent="0.35">
      <c r="A14" s="3">
        <f t="shared" si="0"/>
        <v>13</v>
      </c>
      <c r="B14" s="3" t="s">
        <v>12</v>
      </c>
      <c r="C14" s="3" t="s">
        <v>18</v>
      </c>
      <c r="D14" s="3" t="s">
        <v>25</v>
      </c>
      <c r="E14" s="3" t="s">
        <v>85</v>
      </c>
      <c r="F14" s="13" t="s">
        <v>67</v>
      </c>
      <c r="G14" s="3" t="s">
        <v>53</v>
      </c>
      <c r="H14" s="3" t="s">
        <v>78</v>
      </c>
      <c r="I14" s="4">
        <v>13</v>
      </c>
    </row>
    <row r="15" spans="1:9" x14ac:dyDescent="0.35">
      <c r="A15" s="3">
        <f t="shared" si="0"/>
        <v>14</v>
      </c>
      <c r="B15" s="3" t="s">
        <v>7</v>
      </c>
      <c r="C15" s="3" t="s">
        <v>18</v>
      </c>
      <c r="D15" s="3" t="s">
        <v>31</v>
      </c>
      <c r="E15" s="3" t="s">
        <v>60</v>
      </c>
      <c r="F15" s="13" t="s">
        <v>61</v>
      </c>
      <c r="G15" s="3" t="s">
        <v>53</v>
      </c>
      <c r="H15" s="3" t="s">
        <v>78</v>
      </c>
      <c r="I15" s="4">
        <v>14</v>
      </c>
    </row>
    <row r="16" spans="1:9" x14ac:dyDescent="0.35">
      <c r="A16" s="3">
        <f t="shared" si="0"/>
        <v>15</v>
      </c>
      <c r="B16" s="3" t="s">
        <v>6</v>
      </c>
      <c r="C16" s="3" t="s">
        <v>18</v>
      </c>
      <c r="D16" s="3" t="s">
        <v>24</v>
      </c>
      <c r="E16" s="3" t="s">
        <v>84</v>
      </c>
      <c r="F16" s="13" t="s">
        <v>59</v>
      </c>
      <c r="G16" s="3" t="s">
        <v>53</v>
      </c>
      <c r="H16" s="3" t="s">
        <v>78</v>
      </c>
      <c r="I16" s="4">
        <v>15</v>
      </c>
    </row>
    <row r="17" spans="1:9" x14ac:dyDescent="0.35">
      <c r="A17" s="3">
        <f t="shared" si="0"/>
        <v>16</v>
      </c>
      <c r="B17" s="3" t="s">
        <v>4</v>
      </c>
      <c r="C17" s="3" t="s">
        <v>18</v>
      </c>
      <c r="D17" s="3" t="s">
        <v>22</v>
      </c>
      <c r="E17" s="3" t="s">
        <v>46</v>
      </c>
      <c r="F17" s="13" t="s">
        <v>57</v>
      </c>
      <c r="G17" s="3" t="s">
        <v>53</v>
      </c>
      <c r="H17" s="3" t="s">
        <v>82</v>
      </c>
      <c r="I17" s="4">
        <v>16</v>
      </c>
    </row>
    <row r="18" spans="1:9" x14ac:dyDescent="0.35">
      <c r="A18" s="3">
        <f t="shared" si="0"/>
        <v>17</v>
      </c>
      <c r="B18" s="3" t="s">
        <v>86</v>
      </c>
      <c r="C18" s="3" t="s">
        <v>18</v>
      </c>
      <c r="D18" s="3" t="s">
        <v>35</v>
      </c>
      <c r="E18" s="3" t="s">
        <v>47</v>
      </c>
      <c r="F18" s="13" t="s">
        <v>66</v>
      </c>
      <c r="G18" s="3" t="s">
        <v>47</v>
      </c>
      <c r="H18" s="3" t="s">
        <v>78</v>
      </c>
      <c r="I18" s="4">
        <v>17</v>
      </c>
    </row>
    <row r="19" spans="1:9" x14ac:dyDescent="0.35">
      <c r="A19" s="3">
        <f t="shared" si="0"/>
        <v>18</v>
      </c>
      <c r="B19" s="3" t="s">
        <v>5</v>
      </c>
      <c r="C19" s="3" t="s">
        <v>18</v>
      </c>
      <c r="D19" s="3" t="s">
        <v>23</v>
      </c>
      <c r="E19" s="3" t="s">
        <v>83</v>
      </c>
      <c r="F19" s="13" t="s">
        <v>58</v>
      </c>
      <c r="G19" s="3" t="s">
        <v>91</v>
      </c>
      <c r="H19" s="3" t="s">
        <v>78</v>
      </c>
      <c r="I19" s="4">
        <v>18</v>
      </c>
    </row>
    <row r="20" spans="1:9" x14ac:dyDescent="0.35">
      <c r="A20" s="3">
        <f t="shared" si="0"/>
        <v>19</v>
      </c>
      <c r="B20" s="3" t="s">
        <v>45</v>
      </c>
      <c r="C20" s="3" t="s">
        <v>18</v>
      </c>
      <c r="D20" s="3" t="s">
        <v>33</v>
      </c>
      <c r="E20" s="3" t="s">
        <v>47</v>
      </c>
      <c r="F20" s="13" t="s">
        <v>77</v>
      </c>
      <c r="G20" s="3" t="s">
        <v>47</v>
      </c>
      <c r="H20" s="3" t="s">
        <v>82</v>
      </c>
      <c r="I20" s="4">
        <v>19</v>
      </c>
    </row>
    <row r="21" spans="1:9" x14ac:dyDescent="0.35">
      <c r="A21" s="3">
        <f t="shared" si="0"/>
        <v>20</v>
      </c>
      <c r="B21" s="3" t="s">
        <v>101</v>
      </c>
      <c r="C21" s="3" t="s">
        <v>18</v>
      </c>
      <c r="D21" s="3" t="s">
        <v>102</v>
      </c>
      <c r="E21" s="3" t="s">
        <v>60</v>
      </c>
      <c r="F21" s="13" t="s">
        <v>100</v>
      </c>
      <c r="G21" s="3" t="s">
        <v>53</v>
      </c>
      <c r="H21" s="3" t="s">
        <v>81</v>
      </c>
      <c r="I21" s="4">
        <v>20</v>
      </c>
    </row>
    <row r="22" spans="1:9" x14ac:dyDescent="0.35">
      <c r="A22" s="3">
        <f t="shared" si="0"/>
        <v>21</v>
      </c>
      <c r="B22" s="3" t="s">
        <v>8</v>
      </c>
      <c r="C22" s="3" t="s">
        <v>18</v>
      </c>
      <c r="D22" s="3" t="s">
        <v>34</v>
      </c>
      <c r="E22" s="3" t="s">
        <v>85</v>
      </c>
      <c r="F22" s="13" t="s">
        <v>62</v>
      </c>
      <c r="G22" s="3" t="s">
        <v>53</v>
      </c>
      <c r="H22" s="3" t="s">
        <v>81</v>
      </c>
      <c r="I22" s="4">
        <v>21</v>
      </c>
    </row>
    <row r="23" spans="1:9" x14ac:dyDescent="0.35">
      <c r="A23" s="3">
        <f t="shared" si="0"/>
        <v>22</v>
      </c>
      <c r="B23" s="3" t="s">
        <v>11</v>
      </c>
      <c r="C23" s="3" t="s">
        <v>18</v>
      </c>
      <c r="D23" s="3" t="s">
        <v>26</v>
      </c>
      <c r="E23" s="3" t="s">
        <v>87</v>
      </c>
      <c r="F23" s="13" t="s">
        <v>65</v>
      </c>
      <c r="G23" s="3" t="s">
        <v>91</v>
      </c>
      <c r="H23" s="3" t="s">
        <v>81</v>
      </c>
      <c r="I23" s="4">
        <v>22</v>
      </c>
    </row>
    <row r="24" spans="1:9" x14ac:dyDescent="0.35">
      <c r="A24" s="3">
        <f t="shared" si="0"/>
        <v>23</v>
      </c>
      <c r="B24" s="3" t="s">
        <v>10</v>
      </c>
      <c r="C24" s="3" t="s">
        <v>18</v>
      </c>
      <c r="D24" s="3" t="s">
        <v>32</v>
      </c>
      <c r="E24" s="3" t="s">
        <v>47</v>
      </c>
      <c r="F24" s="13" t="s">
        <v>64</v>
      </c>
      <c r="G24" s="3" t="s">
        <v>53</v>
      </c>
      <c r="H24" s="3" t="s">
        <v>81</v>
      </c>
      <c r="I24" s="4">
        <v>23</v>
      </c>
    </row>
    <row r="25" spans="1:9" x14ac:dyDescent="0.35">
      <c r="A25" s="3">
        <f t="shared" si="0"/>
        <v>24</v>
      </c>
      <c r="B25" s="3" t="s">
        <v>39</v>
      </c>
      <c r="C25" s="3" t="s">
        <v>18</v>
      </c>
      <c r="D25" s="3" t="s">
        <v>40</v>
      </c>
      <c r="E25" s="3" t="s">
        <v>47</v>
      </c>
      <c r="F25" s="13" t="s">
        <v>74</v>
      </c>
      <c r="G25" s="3" t="s">
        <v>47</v>
      </c>
      <c r="H25" s="3" t="s">
        <v>40</v>
      </c>
      <c r="I25" s="4">
        <v>24</v>
      </c>
    </row>
  </sheetData>
  <autoFilter ref="A1:P25" xr:uid="{63B041B4-CC6C-4036-86DE-B6F1E9BE29A0}">
    <sortState xmlns:xlrd2="http://schemas.microsoft.com/office/spreadsheetml/2017/richdata2" ref="A2:I25">
      <sortCondition ref="I1:I25"/>
    </sortState>
  </autoFilter>
  <hyperlinks>
    <hyperlink ref="F4" r:id="rId1" xr:uid="{1D0D96F1-A2B3-4F10-83F9-BDBC22CAD80B}"/>
    <hyperlink ref="F12" r:id="rId2" xr:uid="{AA5AB924-0819-4F3D-9650-73020660A068}"/>
    <hyperlink ref="F17" r:id="rId3" xr:uid="{55A72D5A-1BBC-405F-806C-366FCFD28B25}"/>
    <hyperlink ref="F19" r:id="rId4" xr:uid="{B1641807-269D-4AE4-8456-E47832014CDF}"/>
    <hyperlink ref="F16" r:id="rId5" xr:uid="{6E14B450-69ED-4FEB-87E3-8714BF6FCC0C}"/>
    <hyperlink ref="F15" r:id="rId6" xr:uid="{82A2916C-1616-43FD-8103-A8010E5491ED}"/>
    <hyperlink ref="F22" r:id="rId7" xr:uid="{21AA064C-01BC-45C3-B942-53F6607720F3}"/>
    <hyperlink ref="F9" r:id="rId8" xr:uid="{C0D2FBCB-9A9F-4AE7-BCF4-9994DDEACFC3}"/>
    <hyperlink ref="F24" r:id="rId9" xr:uid="{438D76AC-9068-40B7-9506-746D364885D6}"/>
    <hyperlink ref="F23" r:id="rId10" xr:uid="{E25E29CD-2869-436E-B1F3-F1B854593297}"/>
    <hyperlink ref="F18" r:id="rId11" xr:uid="{54075E9A-93D4-42F2-B5B9-67851B8E671D}"/>
    <hyperlink ref="F14" r:id="rId12" xr:uid="{A27D158A-C42B-42F9-9BCC-DD9FA6A3D91F}"/>
    <hyperlink ref="F7" r:id="rId13" xr:uid="{A0F8C0B8-E32F-453A-8299-B05E05CA5311}"/>
    <hyperlink ref="F6" r:id="rId14" xr:uid="{FBA20972-56BE-49FC-99CF-8D7617076C4F}"/>
    <hyperlink ref="F13" r:id="rId15" xr:uid="{1EFCF01D-D508-4DC4-9FA1-847E55D34F4D}"/>
    <hyperlink ref="F3" r:id="rId16" xr:uid="{5241B575-156F-486E-B178-03FD841F3C6F}"/>
    <hyperlink ref="F5" r:id="rId17" xr:uid="{44632F52-D7C2-456C-887F-091FB6EA9C39}"/>
    <hyperlink ref="F2" r:id="rId18" xr:uid="{1290A7ED-C315-4890-B40F-9DF424E5DADB}"/>
    <hyperlink ref="F25" r:id="rId19" xr:uid="{B61F03F8-5DE4-4E10-B396-A26BB0FDAD03}"/>
    <hyperlink ref="F11" r:id="rId20" xr:uid="{4A297424-87C4-4FC6-83BF-D970B98E87E3}"/>
    <hyperlink ref="F8" r:id="rId21" xr:uid="{62F0E4C9-C636-4054-B929-B99D8D712A24}"/>
    <hyperlink ref="F20" r:id="rId22" xr:uid="{A5353C29-29CF-42DF-B463-A4C4BF5ADA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7F4A-3FA8-45D5-A5DD-6ABABAC4C78D}">
  <dimension ref="A1:B41"/>
  <sheetViews>
    <sheetView topLeftCell="A15" zoomScale="66" zoomScaleNormal="80" workbookViewId="0">
      <selection activeCell="A34" sqref="A34"/>
    </sheetView>
  </sheetViews>
  <sheetFormatPr defaultRowHeight="14.5" x14ac:dyDescent="0.35"/>
  <cols>
    <col min="1" max="1" width="60.81640625" bestFit="1" customWidth="1"/>
    <col min="2" max="2" width="12.1796875" bestFit="1" customWidth="1"/>
  </cols>
  <sheetData>
    <row r="1" spans="1:2" ht="15.5" x14ac:dyDescent="0.35">
      <c r="A1" s="6" t="s">
        <v>50</v>
      </c>
      <c r="B1" s="6" t="s">
        <v>92</v>
      </c>
    </row>
    <row r="2" spans="1:2" ht="15.5" x14ac:dyDescent="0.35">
      <c r="A2" s="4" t="s">
        <v>80</v>
      </c>
      <c r="B2" s="5">
        <f>COUNTIF(Detail!$H:$H,Classification!A2)</f>
        <v>6</v>
      </c>
    </row>
    <row r="3" spans="1:2" ht="15.5" x14ac:dyDescent="0.35">
      <c r="A3" s="4" t="s">
        <v>79</v>
      </c>
      <c r="B3" s="5">
        <f>COUNTIF(Detail!$H:$H,Classification!A3)</f>
        <v>6</v>
      </c>
    </row>
    <row r="4" spans="1:2" ht="15.5" x14ac:dyDescent="0.35">
      <c r="A4" s="4" t="s">
        <v>78</v>
      </c>
      <c r="B4" s="5">
        <f>COUNTIF(Detail!$H:$H,Classification!A4)</f>
        <v>5</v>
      </c>
    </row>
    <row r="5" spans="1:2" ht="15.5" x14ac:dyDescent="0.35">
      <c r="A5" s="4" t="s">
        <v>82</v>
      </c>
      <c r="B5" s="5">
        <f>COUNTIF(Detail!$H:$H,Classification!A5)</f>
        <v>2</v>
      </c>
    </row>
    <row r="6" spans="1:2" ht="15.5" x14ac:dyDescent="0.35">
      <c r="A6" s="4" t="s">
        <v>81</v>
      </c>
      <c r="B6" s="5">
        <f>COUNTIF(Detail!$H:$H,Classification!A6)</f>
        <v>4</v>
      </c>
    </row>
    <row r="7" spans="1:2" ht="15.5" x14ac:dyDescent="0.35">
      <c r="A7" s="4" t="s">
        <v>40</v>
      </c>
      <c r="B7" s="5">
        <f>COUNTIF(Detail!$H:$H,Classification!A7)</f>
        <v>1</v>
      </c>
    </row>
    <row r="10" spans="1:2" x14ac:dyDescent="0.35">
      <c r="A10" s="7" t="s">
        <v>93</v>
      </c>
      <c r="B10" t="s">
        <v>95</v>
      </c>
    </row>
    <row r="11" spans="1:2" x14ac:dyDescent="0.35">
      <c r="A11" s="8" t="s">
        <v>80</v>
      </c>
      <c r="B11" s="15">
        <v>6</v>
      </c>
    </row>
    <row r="12" spans="1:2" x14ac:dyDescent="0.35">
      <c r="A12" s="9" t="s">
        <v>16</v>
      </c>
      <c r="B12" s="15">
        <v>1</v>
      </c>
    </row>
    <row r="13" spans="1:2" x14ac:dyDescent="0.35">
      <c r="A13" s="9" t="s">
        <v>38</v>
      </c>
      <c r="B13" s="15">
        <v>1</v>
      </c>
    </row>
    <row r="14" spans="1:2" s="10" customFormat="1" x14ac:dyDescent="0.35">
      <c r="A14" s="9" t="s">
        <v>14</v>
      </c>
      <c r="B14" s="15">
        <v>1</v>
      </c>
    </row>
    <row r="15" spans="1:2" x14ac:dyDescent="0.35">
      <c r="A15" s="9" t="s">
        <v>2</v>
      </c>
      <c r="B15" s="15">
        <v>1</v>
      </c>
    </row>
    <row r="16" spans="1:2" x14ac:dyDescent="0.35">
      <c r="A16" s="9" t="s">
        <v>17</v>
      </c>
      <c r="B16" s="15">
        <v>1</v>
      </c>
    </row>
    <row r="17" spans="1:2" x14ac:dyDescent="0.35">
      <c r="A17" s="9" t="s">
        <v>13</v>
      </c>
      <c r="B17" s="15">
        <v>1</v>
      </c>
    </row>
    <row r="18" spans="1:2" x14ac:dyDescent="0.35">
      <c r="A18" s="8" t="s">
        <v>79</v>
      </c>
      <c r="B18" s="15">
        <v>6</v>
      </c>
    </row>
    <row r="19" spans="1:2" x14ac:dyDescent="0.35">
      <c r="A19" s="9" t="s">
        <v>9</v>
      </c>
      <c r="B19" s="15">
        <v>1</v>
      </c>
    </row>
    <row r="20" spans="1:2" x14ac:dyDescent="0.35">
      <c r="A20" s="9" t="s">
        <v>41</v>
      </c>
      <c r="B20" s="15">
        <v>1</v>
      </c>
    </row>
    <row r="21" spans="1:2" x14ac:dyDescent="0.35">
      <c r="A21" s="9" t="s">
        <v>43</v>
      </c>
      <c r="B21" s="15">
        <v>1</v>
      </c>
    </row>
    <row r="22" spans="1:2" x14ac:dyDescent="0.35">
      <c r="A22" s="9" t="s">
        <v>15</v>
      </c>
      <c r="B22" s="15">
        <v>1</v>
      </c>
    </row>
    <row r="23" spans="1:2" x14ac:dyDescent="0.35">
      <c r="A23" s="9" t="s">
        <v>3</v>
      </c>
      <c r="B23" s="15">
        <v>1</v>
      </c>
    </row>
    <row r="24" spans="1:2" x14ac:dyDescent="0.35">
      <c r="A24" s="9" t="s">
        <v>97</v>
      </c>
      <c r="B24" s="15">
        <v>1</v>
      </c>
    </row>
    <row r="25" spans="1:2" x14ac:dyDescent="0.35">
      <c r="A25" s="8" t="s">
        <v>78</v>
      </c>
      <c r="B25" s="15">
        <v>5</v>
      </c>
    </row>
    <row r="26" spans="1:2" x14ac:dyDescent="0.35">
      <c r="A26" s="9" t="s">
        <v>7</v>
      </c>
      <c r="B26" s="15">
        <v>1</v>
      </c>
    </row>
    <row r="27" spans="1:2" x14ac:dyDescent="0.35">
      <c r="A27" s="9" t="s">
        <v>12</v>
      </c>
      <c r="B27" s="15">
        <v>1</v>
      </c>
    </row>
    <row r="28" spans="1:2" x14ac:dyDescent="0.35">
      <c r="A28" s="9" t="s">
        <v>86</v>
      </c>
      <c r="B28" s="15">
        <v>1</v>
      </c>
    </row>
    <row r="29" spans="1:2" x14ac:dyDescent="0.35">
      <c r="A29" s="9" t="s">
        <v>5</v>
      </c>
      <c r="B29" s="15">
        <v>1</v>
      </c>
    </row>
    <row r="30" spans="1:2" x14ac:dyDescent="0.35">
      <c r="A30" s="9" t="s">
        <v>6</v>
      </c>
      <c r="B30" s="15">
        <v>1</v>
      </c>
    </row>
    <row r="31" spans="1:2" x14ac:dyDescent="0.35">
      <c r="A31" s="8" t="s">
        <v>82</v>
      </c>
      <c r="B31" s="15">
        <v>2</v>
      </c>
    </row>
    <row r="32" spans="1:2" x14ac:dyDescent="0.35">
      <c r="A32" s="9" t="s">
        <v>45</v>
      </c>
      <c r="B32" s="15">
        <v>1</v>
      </c>
    </row>
    <row r="33" spans="1:2" x14ac:dyDescent="0.35">
      <c r="A33" s="9" t="s">
        <v>4</v>
      </c>
      <c r="B33" s="15">
        <v>1</v>
      </c>
    </row>
    <row r="34" spans="1:2" x14ac:dyDescent="0.35">
      <c r="A34" s="8" t="s">
        <v>81</v>
      </c>
      <c r="B34" s="15">
        <v>4</v>
      </c>
    </row>
    <row r="35" spans="1:2" x14ac:dyDescent="0.35">
      <c r="A35" s="9" t="s">
        <v>10</v>
      </c>
      <c r="B35" s="15">
        <v>1</v>
      </c>
    </row>
    <row r="36" spans="1:2" x14ac:dyDescent="0.35">
      <c r="A36" s="9" t="s">
        <v>8</v>
      </c>
      <c r="B36" s="15">
        <v>1</v>
      </c>
    </row>
    <row r="37" spans="1:2" x14ac:dyDescent="0.35">
      <c r="A37" s="9" t="s">
        <v>11</v>
      </c>
      <c r="B37" s="15">
        <v>1</v>
      </c>
    </row>
    <row r="38" spans="1:2" x14ac:dyDescent="0.35">
      <c r="A38" s="9" t="s">
        <v>101</v>
      </c>
      <c r="B38" s="15">
        <v>1</v>
      </c>
    </row>
    <row r="39" spans="1:2" x14ac:dyDescent="0.35">
      <c r="A39" s="8" t="s">
        <v>40</v>
      </c>
      <c r="B39" s="15">
        <v>1</v>
      </c>
    </row>
    <row r="40" spans="1:2" s="10" customFormat="1" x14ac:dyDescent="0.35">
      <c r="A40" s="9" t="s">
        <v>39</v>
      </c>
      <c r="B40" s="15">
        <v>1</v>
      </c>
    </row>
    <row r="41" spans="1:2" x14ac:dyDescent="0.35">
      <c r="A41" s="8" t="s">
        <v>94</v>
      </c>
      <c r="B41" s="15">
        <v>24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050584B2ABD4BA35107D83CEB768F" ma:contentTypeVersion="10" ma:contentTypeDescription="Create a new document." ma:contentTypeScope="" ma:versionID="d586087b8d6b9df3253538e70c876f1b">
  <xsd:schema xmlns:xsd="http://www.w3.org/2001/XMLSchema" xmlns:xs="http://www.w3.org/2001/XMLSchema" xmlns:p="http://schemas.microsoft.com/office/2006/metadata/properties" xmlns:ns2="5d04f6a4-df26-4128-ae0d-557f626cfcce" xmlns:ns3="2117d51b-0fd1-4ad4-b6f7-2344cdc6cbc7" targetNamespace="http://schemas.microsoft.com/office/2006/metadata/properties" ma:root="true" ma:fieldsID="8f6e889013c8e5c29199abaf74f77388" ns2:_="" ns3:_="">
    <xsd:import namespace="5d04f6a4-df26-4128-ae0d-557f626cfcce"/>
    <xsd:import namespace="2117d51b-0fd1-4ad4-b6f7-2344cdc6cb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4f6a4-df26-4128-ae0d-557f626cfc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bdaa80-9ac3-4366-98fd-a835a5eb6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7d51b-0fd1-4ad4-b6f7-2344cdc6cb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f83d4f-acdd-429b-aad4-5185624edd68}" ma:internalName="TaxCatchAll" ma:showField="CatchAllData" ma:web="2117d51b-0fd1-4ad4-b6f7-2344cdc6cb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04f6a4-df26-4128-ae0d-557f626cfcce">
      <Terms xmlns="http://schemas.microsoft.com/office/infopath/2007/PartnerControls"/>
    </lcf76f155ced4ddcb4097134ff3c332f>
    <TaxCatchAll xmlns="2117d51b-0fd1-4ad4-b6f7-2344cdc6cbc7" xsi:nil="true"/>
  </documentManagement>
</p:properties>
</file>

<file path=customXml/itemProps1.xml><?xml version="1.0" encoding="utf-8"?>
<ds:datastoreItem xmlns:ds="http://schemas.openxmlformats.org/officeDocument/2006/customXml" ds:itemID="{49D1A1CD-367D-41AF-8AC0-F96B3BD45D40}"/>
</file>

<file path=customXml/itemProps2.xml><?xml version="1.0" encoding="utf-8"?>
<ds:datastoreItem xmlns:ds="http://schemas.openxmlformats.org/officeDocument/2006/customXml" ds:itemID="{26362FB6-77A7-4378-A8AD-653E87C19BC2}"/>
</file>

<file path=customXml/itemProps3.xml><?xml version="1.0" encoding="utf-8"?>
<ds:datastoreItem xmlns:ds="http://schemas.openxmlformats.org/officeDocument/2006/customXml" ds:itemID="{CC2CC12B-7B6D-414F-994A-1C557AD0D0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My Chau</dc:creator>
  <cp:lastModifiedBy>NGUYEN VAN THUY DUONG</cp:lastModifiedBy>
  <dcterms:created xsi:type="dcterms:W3CDTF">2026-05-07T08:33:30Z</dcterms:created>
  <dcterms:modified xsi:type="dcterms:W3CDTF">2026-05-11T07:37:39Z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0x010100B32050584B2ABD4BA35107D83CEB768F</vt:lpwstr>
  </property>
</Properties>
</file>